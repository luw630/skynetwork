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NewPoker\business\"/>
    </mc:Choice>
  </mc:AlternateContent>
  <bookViews>
    <workbookView xWindow="0" yWindow="0" windowWidth="28770" windowHeight="8490"/>
  </bookViews>
  <sheets>
    <sheet name="配置参数" sheetId="1" r:id="rId1"/>
    <sheet name="辅助项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" i="1" l="1"/>
  <c r="A24" i="1"/>
  <c r="A23" i="1"/>
  <c r="A36" i="1"/>
  <c r="A35" i="1"/>
  <c r="A22" i="1" l="1"/>
  <c r="A20" i="1" l="1"/>
  <c r="A19" i="1"/>
  <c r="A18" i="1"/>
  <c r="A17" i="1" l="1"/>
  <c r="A16" i="1" l="1"/>
  <c r="A27" i="1" l="1"/>
  <c r="A26" i="1"/>
  <c r="A25" i="1"/>
  <c r="A34" i="1" l="1"/>
  <c r="A33" i="1"/>
  <c r="A9" i="1"/>
  <c r="A8" i="1"/>
  <c r="A32" i="1" l="1"/>
  <c r="A15" i="1"/>
  <c r="A14" i="1"/>
  <c r="A13" i="1"/>
  <c r="A38" i="1" l="1"/>
  <c r="A37" i="1"/>
  <c r="A31" i="1"/>
  <c r="A21" i="1"/>
  <c r="A12" i="1"/>
  <c r="A11" i="1"/>
  <c r="A7" i="1"/>
  <c r="A5" i="1"/>
  <c r="A6" i="1"/>
  <c r="A4" i="1"/>
  <c r="A3" i="1"/>
  <c r="A2" i="1"/>
  <c r="A29" i="1"/>
  <c r="A30" i="1"/>
  <c r="A28" i="1"/>
  <c r="A2" i="2" l="1"/>
  <c r="A1" i="2"/>
</calcChain>
</file>

<file path=xl/comments1.xml><?xml version="1.0" encoding="utf-8"?>
<comments xmlns="http://schemas.openxmlformats.org/spreadsheetml/2006/main">
  <authors>
    <author>胡昶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实物：1000-1999
门票：2000-2999
普通：3000-3999
VIP类：8000-8999
礼包：9000-9999
一次性：10000～
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门票 1
碎片 2
实物 3
展示道具 4
周卡 5
月卡 6
表情包 7
VIP 8
嵌套礼包 9
奖券 10
喇叭 11</t>
        </r>
      </text>
    </comment>
    <comment ref="Q1" authorId="0" shapeId="0">
      <text>
        <r>
          <rPr>
            <b/>
            <sz val="9"/>
            <color indexed="81"/>
            <rFont val="宋体"/>
            <family val="3"/>
            <charset val="134"/>
          </rPr>
          <t>跳转到商城 1
跳转到比赛 2</t>
        </r>
      </text>
    </comment>
  </commentList>
</comments>
</file>

<file path=xl/sharedStrings.xml><?xml version="1.0" encoding="utf-8"?>
<sst xmlns="http://schemas.openxmlformats.org/spreadsheetml/2006/main" count="494" uniqueCount="270">
  <si>
    <t>道具ID</t>
    <phoneticPr fontId="1" type="noConversion"/>
  </si>
  <si>
    <t>道具名称</t>
    <phoneticPr fontId="1" type="noConversion"/>
  </si>
  <si>
    <t>道具图片</t>
    <phoneticPr fontId="1" type="noConversion"/>
  </si>
  <si>
    <t>是否实物</t>
    <phoneticPr fontId="1" type="noConversion"/>
  </si>
  <si>
    <t>是否能赠送</t>
    <phoneticPr fontId="1" type="noConversion"/>
  </si>
  <si>
    <t>道具说明</t>
    <phoneticPr fontId="1" type="noConversion"/>
  </si>
  <si>
    <t>是否自动使用</t>
    <phoneticPr fontId="1" type="noConversion"/>
  </si>
  <si>
    <t>是否展示数量</t>
    <phoneticPr fontId="1" type="noConversion"/>
  </si>
  <si>
    <t>使用是否立即删除</t>
    <phoneticPr fontId="1" type="noConversion"/>
  </si>
  <si>
    <t>道具类型</t>
    <phoneticPr fontId="1" type="noConversion"/>
  </si>
  <si>
    <t>使用限时（秒）</t>
    <phoneticPr fontId="1" type="noConversion"/>
  </si>
  <si>
    <t>使用限时（日）</t>
    <phoneticPr fontId="1" type="noConversion"/>
  </si>
  <si>
    <t>生效时间</t>
    <phoneticPr fontId="1" type="noConversion"/>
  </si>
  <si>
    <t>失效时间</t>
    <phoneticPr fontId="1" type="noConversion"/>
  </si>
  <si>
    <t>删除时间</t>
    <phoneticPr fontId="1" type="noConversion"/>
  </si>
  <si>
    <t>跳转Key</t>
    <phoneticPr fontId="1" type="noConversion"/>
  </si>
  <si>
    <t>门票</t>
    <phoneticPr fontId="1" type="noConversion"/>
  </si>
  <si>
    <t>碎片</t>
    <phoneticPr fontId="1" type="noConversion"/>
  </si>
  <si>
    <t>实物</t>
    <phoneticPr fontId="1" type="noConversion"/>
  </si>
  <si>
    <t>展示道具</t>
    <phoneticPr fontId="1" type="noConversion"/>
  </si>
  <si>
    <t>周卡</t>
    <phoneticPr fontId="1" type="noConversion"/>
  </si>
  <si>
    <t>月卡</t>
    <phoneticPr fontId="1" type="noConversion"/>
  </si>
  <si>
    <t>VIP</t>
    <phoneticPr fontId="1" type="noConversion"/>
  </si>
  <si>
    <t>表情包</t>
    <phoneticPr fontId="1" type="noConversion"/>
  </si>
  <si>
    <t>嵌套礼包</t>
    <phoneticPr fontId="1" type="noConversion"/>
  </si>
  <si>
    <t>奖券</t>
    <phoneticPr fontId="1" type="noConversion"/>
  </si>
  <si>
    <t>喇叭</t>
    <phoneticPr fontId="1" type="noConversion"/>
  </si>
  <si>
    <t>跳转到商城</t>
    <phoneticPr fontId="1" type="noConversion"/>
  </si>
  <si>
    <t>跳转到比赛</t>
    <phoneticPr fontId="1" type="noConversion"/>
  </si>
  <si>
    <t>#</t>
    <phoneticPr fontId="1" type="noConversion"/>
  </si>
  <si>
    <t>精英SNG门票</t>
    <phoneticPr fontId="1" type="noConversion"/>
  </si>
  <si>
    <t>大师SNG门票</t>
    <phoneticPr fontId="1" type="noConversion"/>
  </si>
  <si>
    <t>巅峰SNG门票</t>
    <phoneticPr fontId="1" type="noConversion"/>
  </si>
  <si>
    <t>可免报名费用参加SNG【10K速战】比赛</t>
    <phoneticPr fontId="1" type="noConversion"/>
  </si>
  <si>
    <t>跳转类型</t>
    <phoneticPr fontId="1" type="noConversion"/>
  </si>
  <si>
    <t>version=2</t>
  </si>
  <si>
    <t>propcfg = {</t>
  </si>
  <si>
    <t xml:space="preserve">            sub = {</t>
  </si>
  <si>
    <t xml:space="preserve">                },</t>
  </si>
  <si>
    <t xml:space="preserve">            },</t>
  </si>
  <si>
    <t xml:space="preserve">            add = {</t>
  </si>
  <si>
    <t xml:space="preserve">        --[[</t>
  </si>
  <si>
    <t xml:space="preserve">            --道具类型</t>
  </si>
  <si>
    <t xml:space="preserve">            EPacakgePropType = {</t>
  </si>
  <si>
    <t xml:space="preserve">                PROP_TYPE_TICKET  = 1,     --门票</t>
  </si>
  <si>
    <t xml:space="preserve">                PROP_TYPE_FRAGMENT = 2,    --碎片</t>
  </si>
  <si>
    <t xml:space="preserve">                PROP_TYPE_ENTITY   = 3,    --实物</t>
  </si>
  <si>
    <t xml:space="preserve">                PROP_TYPE_SHOW_ONLY = 4,   --展示道具</t>
  </si>
  <si>
    <t xml:space="preserve">                PROP_TYPE_WEEK_CARD = 5,   --周卡</t>
  </si>
  <si>
    <t xml:space="preserve">                PROP_TYPE_MONTH_CARD = 6,  --月卡</t>
  </si>
  <si>
    <t xml:space="preserve">                PROP_TYPE_CUTE_EAGLE_PKG = 7,--萌鹰表情包</t>
  </si>
  <si>
    <t xml:space="preserve">                PROP_TYPE_VIP        = 8,    --VIP</t>
  </si>
  <si>
    <t xml:space="preserve">                PROP_TYPE_MULTIPLE_PKG = 9,  --嵌套礼包</t>
  </si>
  <si>
    <t xml:space="preserve">                PROP_TYPE_LOTTERY_TICKET = 10,  --奖券</t>
  </si>
  <si>
    <t xml:space="preserve">                PROP_TYPE_CHAT           = 11,  --聊天道具(喇叭)</t>
  </si>
  <si>
    <t xml:space="preserve">            }</t>
  </si>
  <si>
    <t xml:space="preserve">        ]]</t>
  </si>
  <si>
    <t xml:space="preserve">            --跳转类型</t>
  </si>
  <si>
    <t xml:space="preserve">            EJumpType = {</t>
  </si>
  <si>
    <t xml:space="preserve">                JUMP_UNKNOW     = 0,</t>
  </si>
  <si>
    <t xml:space="preserve">                JUMP_SHOP       = 1,   --跳转到商城</t>
  </si>
  <si>
    <t xml:space="preserve">                JUMP_MATCH      = 2,   --跳转到比赛列表</t>
  </si>
  <si>
    <t xml:space="preserve">        id =</t>
    <phoneticPr fontId="1" type="noConversion"/>
  </si>
  <si>
    <t>,</t>
    <phoneticPr fontId="1" type="noConversion"/>
  </si>
  <si>
    <t xml:space="preserve">        use_effect = {</t>
    <phoneticPr fontId="1" type="noConversion"/>
  </si>
  <si>
    <t xml:space="preserve">                    id=</t>
    <phoneticPr fontId="1" type="noConversion"/>
  </si>
  <si>
    <t>,</t>
    <phoneticPr fontId="1" type="noConversion"/>
  </si>
  <si>
    <t xml:space="preserve">                [</t>
    <phoneticPr fontId="1" type="noConversion"/>
  </si>
  <si>
    <t>]={</t>
    <phoneticPr fontId="1" type="noConversion"/>
  </si>
  <si>
    <t xml:space="preserve">                    num=</t>
    <phoneticPr fontId="1" type="noConversion"/>
  </si>
  <si>
    <t>,</t>
    <phoneticPr fontId="1" type="noConversion"/>
  </si>
  <si>
    <t>]={</t>
    <phoneticPr fontId="1" type="noConversion"/>
  </si>
  <si>
    <t xml:space="preserve">                    id=</t>
    <phoneticPr fontId="1" type="noConversion"/>
  </si>
  <si>
    <t xml:space="preserve">                    num=</t>
    <phoneticPr fontId="1" type="noConversion"/>
  </si>
  <si>
    <t>,</t>
    <phoneticPr fontId="1" type="noConversion"/>
  </si>
  <si>
    <t>] = {</t>
  </si>
  <si>
    <t xml:space="preserve">    [</t>
    <phoneticPr fontId="1" type="noConversion"/>
  </si>
  <si>
    <t xml:space="preserve">        name = "</t>
    <phoneticPr fontId="1" type="noConversion"/>
  </si>
  <si>
    <t>",</t>
    <phoneticPr fontId="1" type="noConversion"/>
  </si>
  <si>
    <t xml:space="preserve">        pic_url = "</t>
    <phoneticPr fontId="1" type="noConversion"/>
  </si>
  <si>
    <t>如果为空表示不能使用</t>
    <phoneticPr fontId="1" type="noConversion"/>
  </si>
  <si>
    <t>删除</t>
    <phoneticPr fontId="1" type="noConversion"/>
  </si>
  <si>
    <t>删除内部编号</t>
    <phoneticPr fontId="1" type="noConversion"/>
  </si>
  <si>
    <t>内部编号</t>
    <phoneticPr fontId="1" type="noConversion"/>
  </si>
  <si>
    <t>删除道具ID</t>
    <phoneticPr fontId="1" type="noConversion"/>
  </si>
  <si>
    <t>删除数量</t>
    <phoneticPr fontId="1" type="noConversion"/>
  </si>
  <si>
    <t>增加</t>
    <phoneticPr fontId="1" type="noConversion"/>
  </si>
  <si>
    <t>增加内部编号</t>
    <phoneticPr fontId="1" type="noConversion"/>
  </si>
  <si>
    <t>增加道具ID</t>
    <phoneticPr fontId="1" type="noConversion"/>
  </si>
  <si>
    <t>增加数量</t>
    <phoneticPr fontId="1" type="noConversion"/>
  </si>
  <si>
    <t>道具名称</t>
    <phoneticPr fontId="1" type="noConversion"/>
  </si>
  <si>
    <t>道具图片</t>
    <phoneticPr fontId="1" type="noConversion"/>
  </si>
  <si>
    <t>道具说明</t>
    <phoneticPr fontId="1" type="noConversion"/>
  </si>
  <si>
    <t xml:space="preserve">        desc = "</t>
    <phoneticPr fontId="1" type="noConversion"/>
  </si>
  <si>
    <t>",</t>
    <phoneticPr fontId="1" type="noConversion"/>
  </si>
  <si>
    <t>是否是实物</t>
    <phoneticPr fontId="1" type="noConversion"/>
  </si>
  <si>
    <t xml:space="preserve">        is_entity = </t>
    <phoneticPr fontId="1" type="noConversion"/>
  </si>
  <si>
    <t xml:space="preserve">        is_gift = </t>
    <phoneticPr fontId="1" type="noConversion"/>
  </si>
  <si>
    <t>,</t>
    <phoneticPr fontId="1" type="noConversion"/>
  </si>
  <si>
    <t>是否能赠送</t>
    <phoneticPr fontId="1" type="noConversion"/>
  </si>
  <si>
    <t xml:space="preserve">        is_autouse = </t>
    <phoneticPr fontId="1" type="noConversion"/>
  </si>
  <si>
    <t>道具是否自动使用</t>
    <phoneticPr fontId="1" type="noConversion"/>
  </si>
  <si>
    <t xml:space="preserve">        is_shownum = </t>
    <phoneticPr fontId="1" type="noConversion"/>
  </si>
  <si>
    <t>是否展示数量</t>
    <phoneticPr fontId="1" type="noConversion"/>
  </si>
  <si>
    <t xml:space="preserve">        is_immediatedel = </t>
    <phoneticPr fontId="1" type="noConversion"/>
  </si>
  <si>
    <t>道具使用完是否立即删除（优先级高于下方的时间戳）</t>
    <phoneticPr fontId="1" type="noConversion"/>
  </si>
  <si>
    <t xml:space="preserve">        prop_type = </t>
    <phoneticPr fontId="1" type="noConversion"/>
  </si>
  <si>
    <t>道具类型</t>
    <phoneticPr fontId="1" type="noConversion"/>
  </si>
  <si>
    <t xml:space="preserve">        use_sec_lmt = </t>
    <phoneticPr fontId="1" type="noConversion"/>
  </si>
  <si>
    <t>使用限时，单位秒</t>
    <phoneticPr fontId="1" type="noConversion"/>
  </si>
  <si>
    <t xml:space="preserve">        use_day_lmt = </t>
    <phoneticPr fontId="1" type="noConversion"/>
  </si>
  <si>
    <t>使用限时，单位自然日</t>
    <phoneticPr fontId="1" type="noConversion"/>
  </si>
  <si>
    <t xml:space="preserve">        start_time = "</t>
    <phoneticPr fontId="1" type="noConversion"/>
  </si>
  <si>
    <t>生效时间</t>
    <phoneticPr fontId="1" type="noConversion"/>
  </si>
  <si>
    <t xml:space="preserve">        end_time = "</t>
    <phoneticPr fontId="1" type="noConversion"/>
  </si>
  <si>
    <t>",</t>
    <phoneticPr fontId="1" type="noConversion"/>
  </si>
  <si>
    <t>失效时间</t>
    <phoneticPr fontId="1" type="noConversion"/>
  </si>
  <si>
    <t xml:space="preserve">        delete_time = "</t>
    <phoneticPr fontId="1" type="noConversion"/>
  </si>
  <si>
    <t>删除时间</t>
    <phoneticPr fontId="1" type="noConversion"/>
  </si>
  <si>
    <t xml:space="preserve">        jump_type   = </t>
    <phoneticPr fontId="1" type="noConversion"/>
  </si>
  <si>
    <t>跳转类型</t>
    <phoneticPr fontId="1" type="noConversion"/>
  </si>
  <si>
    <t xml:space="preserve">        jump_value  = </t>
    <phoneticPr fontId="1" type="noConversion"/>
  </si>
  <si>
    <t>跳转key的对应的值</t>
    <phoneticPr fontId="1" type="noConversion"/>
  </si>
  <si>
    <t xml:space="preserve">    }</t>
    <phoneticPr fontId="1" type="noConversion"/>
  </si>
  <si>
    <t>}</t>
    <phoneticPr fontId="1" type="noConversion"/>
  </si>
  <si>
    <t xml:space="preserve">        },</t>
    <phoneticPr fontId="1" type="noConversion"/>
  </si>
  <si>
    <t>可免报名费用参加SNG【100速战】比赛</t>
    <phoneticPr fontId="1" type="noConversion"/>
  </si>
  <si>
    <t>可免报名费用参加SNG【1K速战】比赛</t>
    <phoneticPr fontId="1" type="noConversion"/>
  </si>
  <si>
    <t xml:space="preserve">                },</t>
    <phoneticPr fontId="1" type="noConversion"/>
  </si>
  <si>
    <t>false</t>
  </si>
  <si>
    <t>true</t>
  </si>
  <si>
    <t>coin.png</t>
    <phoneticPr fontId="1" type="noConversion"/>
  </si>
  <si>
    <t>聚众币</t>
    <phoneticPr fontId="1" type="noConversion"/>
  </si>
  <si>
    <t>周末大奖赛门票</t>
    <phoneticPr fontId="1" type="noConversion"/>
  </si>
  <si>
    <t>可以用于参加周末大奖赛的门票,每次报名消耗一张</t>
  </si>
  <si>
    <t>sng.png</t>
    <phoneticPr fontId="1" type="noConversion"/>
  </si>
  <si>
    <t>300元京东卡</t>
    <phoneticPr fontId="1" type="noConversion"/>
  </si>
  <si>
    <t>jdk.png</t>
    <phoneticPr fontId="1" type="noConversion"/>
  </si>
  <si>
    <t>300元京东卡，请填写收货地址，姓名，手机号码</t>
    <phoneticPr fontId="1" type="noConversion"/>
  </si>
  <si>
    <t>特级红茶</t>
    <phoneticPr fontId="1" type="noConversion"/>
  </si>
  <si>
    <t>hc.png</t>
    <phoneticPr fontId="1" type="noConversion"/>
  </si>
  <si>
    <t>特级红茶，请填写收货地址，姓名，手机号码</t>
    <phoneticPr fontId="1" type="noConversion"/>
  </si>
  <si>
    <t>伟大者红酒</t>
    <phoneticPr fontId="1" type="noConversion"/>
  </si>
  <si>
    <t>伟大者红酒，请填写收货地址，姓名，手机号码</t>
    <phoneticPr fontId="1" type="noConversion"/>
  </si>
  <si>
    <t>线下CGP月赛门票</t>
    <phoneticPr fontId="1" type="noConversion"/>
  </si>
  <si>
    <t>hj.png</t>
    <phoneticPr fontId="1" type="noConversion"/>
  </si>
  <si>
    <t>cgp.png</t>
    <phoneticPr fontId="1" type="noConversion"/>
  </si>
  <si>
    <t>xxcgp.png</t>
    <phoneticPr fontId="1" type="noConversion"/>
  </si>
  <si>
    <t>伟大者大奖赛门票</t>
    <phoneticPr fontId="1" type="noConversion"/>
  </si>
  <si>
    <t>可以用于参加伟大者红酒大奖赛的门票,每次报名消耗一张</t>
    <phoneticPr fontId="1" type="noConversion"/>
  </si>
  <si>
    <t>wdzmp.png</t>
    <phoneticPr fontId="1" type="noConversion"/>
  </si>
  <si>
    <t>可以用于参加CPG大奖赛的门票,每次报名消耗一张</t>
    <phoneticPr fontId="1" type="noConversion"/>
  </si>
  <si>
    <t>CGP月赛门票</t>
    <phoneticPr fontId="1" type="noConversion"/>
  </si>
  <si>
    <t>可以用于参加CPG月赛的门票,每次报名消耗一张</t>
    <phoneticPr fontId="1" type="noConversion"/>
  </si>
  <si>
    <t>CGP大奖赛门票</t>
    <phoneticPr fontId="1" type="noConversion"/>
  </si>
  <si>
    <t>MONSTER耳机</t>
    <phoneticPr fontId="1" type="noConversion"/>
  </si>
  <si>
    <t>线下直播赛事发牌员资格，请填写收货地址，姓名，手机号码</t>
    <phoneticPr fontId="1" type="noConversion"/>
  </si>
  <si>
    <t>MONSTER耳机，请填写收货地址，姓名，手机号码</t>
    <phoneticPr fontId="1" type="noConversion"/>
  </si>
  <si>
    <t>URBeats耳机，请填写收货地址，姓名，手机号码</t>
    <phoneticPr fontId="1" type="noConversion"/>
  </si>
  <si>
    <t>Dealer挑战赛门票</t>
    <phoneticPr fontId="1" type="noConversion"/>
  </si>
  <si>
    <t>可以用于参加Dealer挑战赛的门票,每次报名消耗一张</t>
    <phoneticPr fontId="1" type="noConversion"/>
  </si>
  <si>
    <t>线下发牌员资格</t>
    <phoneticPr fontId="1" type="noConversion"/>
  </si>
  <si>
    <t>线下CGP月赛门票，请填写收货地址，姓名，手机号码</t>
    <phoneticPr fontId="1" type="noConversion"/>
  </si>
  <si>
    <t>mtt.png</t>
    <phoneticPr fontId="1" type="noConversion"/>
  </si>
  <si>
    <t>URBeats耳机</t>
    <phoneticPr fontId="1" type="noConversion"/>
  </si>
  <si>
    <t>urbeats.png</t>
    <phoneticPr fontId="1" type="noConversion"/>
  </si>
  <si>
    <t>monster.png</t>
    <phoneticPr fontId="1" type="noConversion"/>
  </si>
  <si>
    <t>xxdealer.png</t>
    <phoneticPr fontId="1" type="noConversion"/>
  </si>
  <si>
    <t>dealermp.png</t>
    <phoneticPr fontId="1" type="noConversion"/>
  </si>
  <si>
    <t>Sub:43</t>
  </si>
  <si>
    <t>Sub:1001</t>
  </si>
  <si>
    <t>Sub:1002</t>
  </si>
  <si>
    <t>Sub:1003</t>
  </si>
  <si>
    <t>Sub:1101</t>
  </si>
  <si>
    <t>Sub:1201</t>
  </si>
  <si>
    <t>Sub:1202</t>
  </si>
  <si>
    <t>Sub:1203</t>
  </si>
  <si>
    <t>Sub:1204</t>
  </si>
  <si>
    <t>Sub:1205</t>
  </si>
  <si>
    <t>Sub:1301</t>
  </si>
  <si>
    <t>Sub:2000</t>
  </si>
  <si>
    <t>Sub:2001</t>
  </si>
  <si>
    <t>Sub:2002</t>
  </si>
  <si>
    <t>Sub:2101</t>
  </si>
  <si>
    <t>Sub:2201</t>
  </si>
  <si>
    <t>Sub:2102</t>
  </si>
  <si>
    <t>Sub:2202</t>
  </si>
  <si>
    <t>50元话费卡</t>
    <phoneticPr fontId="1" type="noConversion"/>
  </si>
  <si>
    <t>100元话费卡</t>
    <phoneticPr fontId="1" type="noConversion"/>
  </si>
  <si>
    <t>50元话费卡，请填写收货地址，姓名，手机号码</t>
    <phoneticPr fontId="1" type="noConversion"/>
  </si>
  <si>
    <t>100元话费卡，请填写收货地址，姓名，手机号码</t>
    <phoneticPr fontId="1" type="noConversion"/>
  </si>
  <si>
    <t>“海文杯”门票</t>
    <phoneticPr fontId="1" type="noConversion"/>
  </si>
  <si>
    <t>可以用于参加“海文杯”系列赛的门票,每次报名消耗一张</t>
    <phoneticPr fontId="1" type="noConversion"/>
  </si>
  <si>
    <t>“君子杯”门票</t>
    <phoneticPr fontId="1" type="noConversion"/>
  </si>
  <si>
    <t>可以用于参加“君子杯”系列赛的门票,每次报名消耗一张</t>
    <phoneticPr fontId="1" type="noConversion"/>
  </si>
  <si>
    <t>1克黄金</t>
    <phoneticPr fontId="1" type="noConversion"/>
  </si>
  <si>
    <t>1克黄金，请填写收货地址，姓名，手机号码</t>
    <phoneticPr fontId="1" type="noConversion"/>
  </si>
  <si>
    <t>2克黄金</t>
    <phoneticPr fontId="1" type="noConversion"/>
  </si>
  <si>
    <t>5克黄金</t>
    <phoneticPr fontId="1" type="noConversion"/>
  </si>
  <si>
    <t>2克黄金，请填写收货地址，姓名，手机号码</t>
    <phoneticPr fontId="1" type="noConversion"/>
  </si>
  <si>
    <t>5克黄金，请填写收货地址，姓名，手机号码</t>
    <phoneticPr fontId="1" type="noConversion"/>
  </si>
  <si>
    <t>hwbmp.png</t>
    <phoneticPr fontId="1" type="noConversion"/>
  </si>
  <si>
    <t>hfk50.png</t>
    <phoneticPr fontId="1" type="noConversion"/>
  </si>
  <si>
    <t>hfk100.png</t>
    <phoneticPr fontId="1" type="noConversion"/>
  </si>
  <si>
    <t>Sub:2103</t>
  </si>
  <si>
    <t>Sub:2104</t>
  </si>
  <si>
    <t>Sub:1401</t>
  </si>
  <si>
    <t>Sub:1402</t>
  </si>
  <si>
    <t>Sub:1403</t>
  </si>
  <si>
    <t>Sub:1102</t>
  </si>
  <si>
    <t>Sub:1103</t>
  </si>
  <si>
    <t>乐视1pro手机</t>
    <phoneticPr fontId="1" type="noConversion"/>
  </si>
  <si>
    <t>乐视1pro手机，请填写收货地址，姓名，手机号码</t>
    <phoneticPr fontId="1" type="noConversion"/>
  </si>
  <si>
    <t>Sub:1206</t>
  </si>
  <si>
    <t>西班牙红酒</t>
    <phoneticPr fontId="1" type="noConversion"/>
  </si>
  <si>
    <t>西班牙进口红酒，请填写收货地址，姓名，手机号码</t>
    <phoneticPr fontId="1" type="noConversion"/>
  </si>
  <si>
    <t>Sub:1207</t>
    <phoneticPr fontId="1" type="noConversion"/>
  </si>
  <si>
    <t>lssj.png</t>
    <phoneticPr fontId="1" type="noConversion"/>
  </si>
  <si>
    <t>gold1.png</t>
    <phoneticPr fontId="1" type="noConversion"/>
  </si>
  <si>
    <t>gold2.png</t>
  </si>
  <si>
    <t>gold5.png</t>
    <phoneticPr fontId="1" type="noConversion"/>
  </si>
  <si>
    <t>jzbmp.png</t>
    <phoneticPr fontId="1" type="noConversion"/>
  </si>
  <si>
    <t>Ipadmini</t>
    <phoneticPr fontId="1" type="noConversion"/>
  </si>
  <si>
    <t>赌神巧克力</t>
    <phoneticPr fontId="1" type="noConversion"/>
  </si>
  <si>
    <t>朋友桌纪念帽</t>
    <phoneticPr fontId="1" type="noConversion"/>
  </si>
  <si>
    <t>ipadmini.png</t>
    <phoneticPr fontId="1" type="noConversion"/>
  </si>
  <si>
    <t>dsqkl.png</t>
    <phoneticPr fontId="1" type="noConversion"/>
  </si>
  <si>
    <t>pyzmz.png</t>
    <phoneticPr fontId="1" type="noConversion"/>
  </si>
  <si>
    <t>Ipadmini，请填写收货地址，姓名，手机号码</t>
    <phoneticPr fontId="1" type="noConversion"/>
  </si>
  <si>
    <t>赌神巧克力，请填写收货地址，姓名，手机号码</t>
    <phoneticPr fontId="1" type="noConversion"/>
  </si>
  <si>
    <t>朋友桌纪念版帽子，请填写收货地址，姓名，手机号码</t>
    <phoneticPr fontId="1" type="noConversion"/>
  </si>
  <si>
    <t>Sub:1208</t>
  </si>
  <si>
    <t>Sub:1209</t>
  </si>
  <si>
    <t>Sub:1210</t>
  </si>
  <si>
    <t>ChinaJoy门票，请于7月2至4日填写收货地址，姓名，手机号码</t>
    <phoneticPr fontId="1" type="noConversion"/>
  </si>
  <si>
    <t>Sub:1302</t>
  </si>
  <si>
    <t>ChinaJoy门票</t>
    <phoneticPr fontId="1" type="noConversion"/>
  </si>
  <si>
    <t>chinajoymp.png</t>
    <phoneticPr fontId="1" type="noConversion"/>
  </si>
  <si>
    <t>SPT中级赛门票</t>
    <phoneticPr fontId="1" type="noConversion"/>
  </si>
  <si>
    <t>SPT高级赛门票</t>
    <phoneticPr fontId="1" type="noConversion"/>
  </si>
  <si>
    <t>可以用于参加SPT中级赛的门票,每次报名消耗一张</t>
    <phoneticPr fontId="1" type="noConversion"/>
  </si>
  <si>
    <t>可以用于参加SPT高级赛的门票,每次报名消耗一张</t>
    <phoneticPr fontId="1" type="noConversion"/>
  </si>
  <si>
    <t>Sub:2105</t>
  </si>
  <si>
    <t>Sub:2106</t>
  </si>
  <si>
    <t>乐视系列赛门票</t>
    <phoneticPr fontId="1" type="noConversion"/>
  </si>
  <si>
    <t>线下直播赛门票</t>
    <phoneticPr fontId="1" type="noConversion"/>
  </si>
  <si>
    <t>线下直播赛门票可以参与线下直播，填写收货地址，姓名，手机号码</t>
    <phoneticPr fontId="1" type="noConversion"/>
  </si>
  <si>
    <t>乐视系列赛门票，可以参与乐视系列赛门票，填写收货地址，姓名，手机号码</t>
    <phoneticPr fontId="1" type="noConversion"/>
  </si>
  <si>
    <t>Sub:1104</t>
  </si>
  <si>
    <t>Sub:1303</t>
  </si>
  <si>
    <t>Sub:1304</t>
  </si>
  <si>
    <t>lsmp.png</t>
    <phoneticPr fontId="1" type="noConversion"/>
  </si>
  <si>
    <t>xxzbmp.png</t>
    <phoneticPr fontId="1" type="noConversion"/>
  </si>
  <si>
    <t>sptzjmp.png</t>
    <phoneticPr fontId="1" type="noConversion"/>
  </si>
  <si>
    <t>sptgjmp.png</t>
    <phoneticPr fontId="1" type="noConversion"/>
  </si>
  <si>
    <t>2016-6-7 10:00:00</t>
    <phoneticPr fontId="1" type="noConversion"/>
  </si>
  <si>
    <t>2016-6-8 10:00:00</t>
    <phoneticPr fontId="1" type="noConversion"/>
  </si>
  <si>
    <t>2016-6-8 10:22:00</t>
    <phoneticPr fontId="1" type="noConversion"/>
  </si>
  <si>
    <t>聚众黑金卡</t>
    <phoneticPr fontId="1" type="noConversion"/>
  </si>
  <si>
    <t>聚众粉金卡</t>
    <phoneticPr fontId="1" type="noConversion"/>
  </si>
  <si>
    <t>聚众金卡</t>
    <phoneticPr fontId="1" type="noConversion"/>
  </si>
  <si>
    <t>聚众银卡</t>
    <phoneticPr fontId="1" type="noConversion"/>
  </si>
  <si>
    <t>hjk.png</t>
    <phoneticPr fontId="1" type="noConversion"/>
  </si>
  <si>
    <t>fjk.png</t>
    <phoneticPr fontId="1" type="noConversion"/>
  </si>
  <si>
    <t>jk.png</t>
    <phoneticPr fontId="1" type="noConversion"/>
  </si>
  <si>
    <t>yk.png</t>
    <phoneticPr fontId="1" type="noConversion"/>
  </si>
  <si>
    <t>价值3500聚众币的银卡，请填写联系人姓名，手机号码兑换</t>
    <phoneticPr fontId="1" type="noConversion"/>
  </si>
  <si>
    <t>价值7000聚众币的金卡，请填写联系人姓名，手机号码兑换</t>
    <phoneticPr fontId="1" type="noConversion"/>
  </si>
  <si>
    <t>价值70000聚众币的粉金卡，请填写联系人姓名，手机号码兑换</t>
    <phoneticPr fontId="1" type="noConversion"/>
  </si>
  <si>
    <t>价值140000聚众币的黑金卡，请填写联系人姓名，手机号码兑换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</si>
</sst>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Zfull-GB"/>
      <family val="2"/>
      <charset val="134"/>
    </font>
    <font>
      <sz val="9"/>
      <name val="Zfull-GB"/>
      <family val="2"/>
      <charset val="134"/>
    </font>
    <font>
      <b/>
      <sz val="9"/>
      <color indexed="81"/>
      <name val="宋体"/>
      <family val="3"/>
      <charset val="134"/>
    </font>
    <font>
      <sz val="11"/>
      <name val="Zfull-GB"/>
      <family val="2"/>
      <charset val="134"/>
    </font>
    <font>
      <sz val="11"/>
      <name val="Zfull-GB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49" fontId="0" fillId="2" borderId="0" xfId="0" applyNumberFormat="1" applyFill="1">
      <alignment vertical="center"/>
    </xf>
    <xf numFmtId="49" fontId="0" fillId="3" borderId="0" xfId="0" applyNumberFormat="1" applyFill="1">
      <alignment vertical="center"/>
    </xf>
    <xf numFmtId="49" fontId="3" fillId="2" borderId="0" xfId="0" applyNumberFormat="1" applyFont="1" applyFill="1">
      <alignment vertical="center"/>
    </xf>
    <xf numFmtId="49" fontId="4" fillId="2" borderId="0" xfId="0" applyNumberFormat="1" applyFont="1" applyFill="1">
      <alignment vertical="center"/>
    </xf>
    <xf numFmtId="49" fontId="0" fillId="4" borderId="0" xfId="0" applyNumberFormat="1" applyFill="1">
      <alignment vertical="center"/>
    </xf>
    <xf numFmtId="49" fontId="4" fillId="4" borderId="0" xfId="0" applyNumberFormat="1" applyFont="1" applyFill="1">
      <alignment vertical="center"/>
    </xf>
    <xf numFmtId="0" fontId="0" fillId="0" borderId="0" xfId="0" applyFill="1">
      <alignment vertical="center"/>
    </xf>
    <xf numFmtId="0" fontId="0" fillId="5" borderId="0" xfId="0" applyFill="1">
      <alignment vertical="center"/>
    </xf>
    <xf numFmtId="0" fontId="0" fillId="2" borderId="0" xfId="0" applyFill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6" borderId="0" xfId="0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38"/>
  <sheetViews>
    <sheetView tabSelected="1" workbookViewId="0">
      <pane xSplit="2" ySplit="1" topLeftCell="C2" activePane="bottomRight" state="frozenSplit"/>
      <selection pane="topRight" activeCell="C1" sqref="C1"/>
      <selection pane="bottomLeft" activeCell="B22" sqref="B22"/>
      <selection pane="bottomRight" activeCell="E26" sqref="E26"/>
    </sheetView>
  </sheetViews>
  <sheetFormatPr defaultRowHeight="13.5"/>
  <cols>
    <col min="1" max="1" width="5.5" customWidth="1"/>
    <col min="2" max="2" width="7.25" bestFit="1" customWidth="1"/>
    <col min="3" max="3" width="17.625" bestFit="1" customWidth="1"/>
    <col min="4" max="4" width="16.125" bestFit="1" customWidth="1"/>
    <col min="5" max="5" width="71.25" bestFit="1" customWidth="1"/>
    <col min="6" max="6" width="9" bestFit="1" customWidth="1"/>
    <col min="7" max="7" width="11" bestFit="1" customWidth="1"/>
    <col min="8" max="9" width="13" bestFit="1" customWidth="1"/>
    <col min="10" max="10" width="17.25" bestFit="1" customWidth="1"/>
    <col min="12" max="13" width="15.125" bestFit="1" customWidth="1"/>
    <col min="14" max="15" width="19.375" style="11" bestFit="1" customWidth="1"/>
    <col min="16" max="16" width="19.375" style="10" bestFit="1" customWidth="1"/>
    <col min="18" max="18" width="8.25" bestFit="1" customWidth="1"/>
    <col min="19" max="19" width="9.5" bestFit="1" customWidth="1"/>
    <col min="20" max="20" width="2.5" bestFit="1" customWidth="1"/>
  </cols>
  <sheetData>
    <row r="1" spans="1:20">
      <c r="A1" t="s">
        <v>29</v>
      </c>
      <c r="B1" t="s">
        <v>0</v>
      </c>
      <c r="C1" t="s">
        <v>1</v>
      </c>
      <c r="D1" s="7" t="s">
        <v>2</v>
      </c>
      <c r="E1" t="s">
        <v>5</v>
      </c>
      <c r="F1" t="s">
        <v>3</v>
      </c>
      <c r="G1" t="s">
        <v>4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s="11" t="s">
        <v>12</v>
      </c>
      <c r="O1" s="11" t="s">
        <v>13</v>
      </c>
      <c r="P1" s="10" t="s">
        <v>14</v>
      </c>
      <c r="Q1" t="s">
        <v>34</v>
      </c>
      <c r="R1" t="s">
        <v>15</v>
      </c>
    </row>
    <row r="2" spans="1:20">
      <c r="A2">
        <f>IF(B2&lt;&gt;"",B2,"")</f>
        <v>1</v>
      </c>
      <c r="B2">
        <v>1</v>
      </c>
      <c r="C2" t="s">
        <v>132</v>
      </c>
      <c r="D2" s="7" t="s">
        <v>131</v>
      </c>
      <c r="F2" t="s">
        <v>129</v>
      </c>
      <c r="G2" t="s">
        <v>130</v>
      </c>
      <c r="H2" t="s">
        <v>129</v>
      </c>
      <c r="I2" t="s">
        <v>130</v>
      </c>
      <c r="J2" t="s">
        <v>130</v>
      </c>
      <c r="K2">
        <v>3</v>
      </c>
      <c r="L2">
        <v>0</v>
      </c>
      <c r="M2">
        <v>0</v>
      </c>
      <c r="Q2">
        <v>2</v>
      </c>
      <c r="R2">
        <v>1</v>
      </c>
    </row>
    <row r="3" spans="1:20">
      <c r="A3">
        <f>IF(B3&lt;&gt;"",B3,"")</f>
        <v>43</v>
      </c>
      <c r="B3">
        <v>43</v>
      </c>
      <c r="C3" t="s">
        <v>133</v>
      </c>
      <c r="D3" s="7" t="s">
        <v>163</v>
      </c>
      <c r="E3" t="s">
        <v>134</v>
      </c>
      <c r="F3" t="s">
        <v>129</v>
      </c>
      <c r="G3" t="s">
        <v>130</v>
      </c>
      <c r="H3" t="s">
        <v>129</v>
      </c>
      <c r="I3" t="s">
        <v>130</v>
      </c>
      <c r="J3" t="s">
        <v>130</v>
      </c>
      <c r="K3">
        <v>1</v>
      </c>
      <c r="L3">
        <v>0</v>
      </c>
      <c r="M3">
        <v>0</v>
      </c>
      <c r="Q3">
        <v>2</v>
      </c>
      <c r="R3">
        <v>1</v>
      </c>
      <c r="S3" t="s">
        <v>169</v>
      </c>
      <c r="T3">
        <v>1</v>
      </c>
    </row>
    <row r="4" spans="1:20">
      <c r="A4">
        <f>IF(B4&lt;&gt;"",B4,"")</f>
        <v>1001</v>
      </c>
      <c r="B4">
        <v>1001</v>
      </c>
      <c r="C4" t="s">
        <v>136</v>
      </c>
      <c r="D4" s="7" t="s">
        <v>137</v>
      </c>
      <c r="E4" t="s">
        <v>138</v>
      </c>
      <c r="F4" t="s">
        <v>130</v>
      </c>
      <c r="G4" t="s">
        <v>130</v>
      </c>
      <c r="H4" t="s">
        <v>129</v>
      </c>
      <c r="I4" t="s">
        <v>130</v>
      </c>
      <c r="J4" t="s">
        <v>130</v>
      </c>
      <c r="K4">
        <v>3</v>
      </c>
      <c r="L4">
        <v>0</v>
      </c>
      <c r="M4">
        <v>0</v>
      </c>
      <c r="Q4">
        <v>2</v>
      </c>
      <c r="R4">
        <v>1</v>
      </c>
      <c r="S4" t="s">
        <v>170</v>
      </c>
      <c r="T4">
        <v>1</v>
      </c>
    </row>
    <row r="5" spans="1:20">
      <c r="A5">
        <f t="shared" ref="A5:A25" si="0">IF(B5&lt;&gt;"",B5,"")</f>
        <v>1002</v>
      </c>
      <c r="B5">
        <v>1002</v>
      </c>
      <c r="C5" s="12" t="s">
        <v>258</v>
      </c>
      <c r="D5" s="7" t="s">
        <v>262</v>
      </c>
      <c r="E5" t="s">
        <v>269</v>
      </c>
      <c r="F5" t="s">
        <v>130</v>
      </c>
      <c r="G5" t="s">
        <v>130</v>
      </c>
      <c r="H5" t="s">
        <v>129</v>
      </c>
      <c r="I5" t="s">
        <v>130</v>
      </c>
      <c r="J5" t="s">
        <v>130</v>
      </c>
      <c r="K5">
        <v>3</v>
      </c>
      <c r="L5">
        <v>0</v>
      </c>
      <c r="M5">
        <v>0</v>
      </c>
      <c r="Q5">
        <v>2</v>
      </c>
      <c r="R5">
        <v>1</v>
      </c>
      <c r="S5" t="s">
        <v>171</v>
      </c>
      <c r="T5">
        <v>1</v>
      </c>
    </row>
    <row r="6" spans="1:20">
      <c r="A6">
        <f t="shared" si="0"/>
        <v>1003</v>
      </c>
      <c r="B6">
        <v>1003</v>
      </c>
      <c r="C6" s="12" t="s">
        <v>259</v>
      </c>
      <c r="D6" s="7" t="s">
        <v>263</v>
      </c>
      <c r="E6" t="s">
        <v>268</v>
      </c>
      <c r="F6" t="s">
        <v>130</v>
      </c>
      <c r="G6" t="s">
        <v>130</v>
      </c>
      <c r="H6" t="s">
        <v>129</v>
      </c>
      <c r="I6" t="s">
        <v>130</v>
      </c>
      <c r="J6" t="s">
        <v>130</v>
      </c>
      <c r="K6">
        <v>3</v>
      </c>
      <c r="L6">
        <v>0</v>
      </c>
      <c r="M6">
        <v>0</v>
      </c>
      <c r="Q6">
        <v>2</v>
      </c>
      <c r="R6">
        <v>1</v>
      </c>
      <c r="S6" t="s">
        <v>172</v>
      </c>
      <c r="T6">
        <v>1</v>
      </c>
    </row>
    <row r="7" spans="1:20">
      <c r="A7">
        <f t="shared" si="0"/>
        <v>1101</v>
      </c>
      <c r="B7">
        <v>1101</v>
      </c>
      <c r="C7" s="12" t="s">
        <v>260</v>
      </c>
      <c r="D7" s="7" t="s">
        <v>264</v>
      </c>
      <c r="E7" t="s">
        <v>267</v>
      </c>
      <c r="F7" t="s">
        <v>130</v>
      </c>
      <c r="G7" t="s">
        <v>130</v>
      </c>
      <c r="H7" t="s">
        <v>129</v>
      </c>
      <c r="I7" t="s">
        <v>130</v>
      </c>
      <c r="J7" t="s">
        <v>130</v>
      </c>
      <c r="K7">
        <v>3</v>
      </c>
      <c r="L7">
        <v>0</v>
      </c>
      <c r="M7">
        <v>0</v>
      </c>
      <c r="Q7">
        <v>2</v>
      </c>
      <c r="R7">
        <v>1</v>
      </c>
      <c r="S7" t="s">
        <v>173</v>
      </c>
      <c r="T7">
        <v>1</v>
      </c>
    </row>
    <row r="8" spans="1:20">
      <c r="A8">
        <f t="shared" ref="A8" si="1">IF(B8&lt;&gt;"",B8,"")</f>
        <v>1102</v>
      </c>
      <c r="B8">
        <v>1102</v>
      </c>
      <c r="C8" s="8" t="s">
        <v>187</v>
      </c>
      <c r="D8" s="7" t="s">
        <v>202</v>
      </c>
      <c r="E8" t="s">
        <v>189</v>
      </c>
      <c r="F8" t="s">
        <v>130</v>
      </c>
      <c r="G8" t="s">
        <v>130</v>
      </c>
      <c r="H8" t="s">
        <v>129</v>
      </c>
      <c r="I8" t="s">
        <v>130</v>
      </c>
      <c r="J8" t="s">
        <v>130</v>
      </c>
      <c r="K8">
        <v>3</v>
      </c>
      <c r="L8">
        <v>0</v>
      </c>
      <c r="M8">
        <v>0</v>
      </c>
      <c r="Q8">
        <v>2</v>
      </c>
      <c r="R8">
        <v>1</v>
      </c>
      <c r="S8" t="s">
        <v>209</v>
      </c>
      <c r="T8">
        <v>1</v>
      </c>
    </row>
    <row r="9" spans="1:20">
      <c r="A9">
        <f t="shared" ref="A9" si="2">IF(B9&lt;&gt;"",B9,"")</f>
        <v>1103</v>
      </c>
      <c r="B9">
        <v>1103</v>
      </c>
      <c r="C9" s="8" t="s">
        <v>188</v>
      </c>
      <c r="D9" s="7" t="s">
        <v>203</v>
      </c>
      <c r="E9" t="s">
        <v>190</v>
      </c>
      <c r="F9" t="s">
        <v>130</v>
      </c>
      <c r="G9" t="s">
        <v>130</v>
      </c>
      <c r="H9" t="s">
        <v>129</v>
      </c>
      <c r="I9" t="s">
        <v>130</v>
      </c>
      <c r="J9" t="s">
        <v>130</v>
      </c>
      <c r="K9">
        <v>3</v>
      </c>
      <c r="L9">
        <v>0</v>
      </c>
      <c r="M9">
        <v>0</v>
      </c>
      <c r="Q9">
        <v>2</v>
      </c>
      <c r="R9">
        <v>1</v>
      </c>
      <c r="S9" t="s">
        <v>210</v>
      </c>
      <c r="T9">
        <v>1</v>
      </c>
    </row>
    <row r="10" spans="1:20">
      <c r="A10">
        <f t="shared" ref="A10" si="3">IF(B10&lt;&gt;"",B10,"")</f>
        <v>1104</v>
      </c>
      <c r="B10">
        <v>1104</v>
      </c>
      <c r="C10" s="12" t="s">
        <v>261</v>
      </c>
      <c r="D10" s="7" t="s">
        <v>265</v>
      </c>
      <c r="E10" t="s">
        <v>266</v>
      </c>
      <c r="F10" t="s">
        <v>130</v>
      </c>
      <c r="G10" t="s">
        <v>130</v>
      </c>
      <c r="H10" t="s">
        <v>129</v>
      </c>
      <c r="I10" t="s">
        <v>130</v>
      </c>
      <c r="J10" t="s">
        <v>130</v>
      </c>
      <c r="K10">
        <v>3</v>
      </c>
      <c r="L10">
        <v>0</v>
      </c>
      <c r="M10">
        <v>0</v>
      </c>
      <c r="Q10">
        <v>2</v>
      </c>
      <c r="R10">
        <v>1</v>
      </c>
      <c r="S10" t="s">
        <v>248</v>
      </c>
      <c r="T10">
        <v>1</v>
      </c>
    </row>
    <row r="11" spans="1:20">
      <c r="A11">
        <f t="shared" si="0"/>
        <v>1201</v>
      </c>
      <c r="B11">
        <v>1201</v>
      </c>
      <c r="C11" s="8" t="s">
        <v>139</v>
      </c>
      <c r="D11" s="7" t="s">
        <v>140</v>
      </c>
      <c r="E11" t="s">
        <v>141</v>
      </c>
      <c r="F11" t="s">
        <v>130</v>
      </c>
      <c r="G11" t="s">
        <v>130</v>
      </c>
      <c r="H11" t="s">
        <v>129</v>
      </c>
      <c r="I11" t="s">
        <v>130</v>
      </c>
      <c r="J11" t="s">
        <v>130</v>
      </c>
      <c r="K11">
        <v>3</v>
      </c>
      <c r="L11">
        <v>0</v>
      </c>
      <c r="M11">
        <v>0</v>
      </c>
      <c r="Q11">
        <v>2</v>
      </c>
      <c r="R11">
        <v>1</v>
      </c>
      <c r="S11" t="s">
        <v>174</v>
      </c>
      <c r="T11">
        <v>1</v>
      </c>
    </row>
    <row r="12" spans="1:20">
      <c r="A12">
        <f t="shared" si="0"/>
        <v>1202</v>
      </c>
      <c r="B12">
        <v>1202</v>
      </c>
      <c r="C12" s="8" t="s">
        <v>142</v>
      </c>
      <c r="D12" s="7" t="s">
        <v>145</v>
      </c>
      <c r="E12" t="s">
        <v>143</v>
      </c>
      <c r="F12" t="s">
        <v>130</v>
      </c>
      <c r="G12" t="s">
        <v>130</v>
      </c>
      <c r="H12" t="s">
        <v>129</v>
      </c>
      <c r="I12" t="s">
        <v>130</v>
      </c>
      <c r="J12" t="s">
        <v>130</v>
      </c>
      <c r="K12">
        <v>3</v>
      </c>
      <c r="L12">
        <v>0</v>
      </c>
      <c r="M12">
        <v>0</v>
      </c>
      <c r="Q12">
        <v>2</v>
      </c>
      <c r="R12">
        <v>1</v>
      </c>
      <c r="S12" t="s">
        <v>175</v>
      </c>
      <c r="T12">
        <v>1</v>
      </c>
    </row>
    <row r="13" spans="1:20">
      <c r="A13">
        <f t="shared" si="0"/>
        <v>1203</v>
      </c>
      <c r="B13">
        <v>1203</v>
      </c>
      <c r="C13" s="8" t="s">
        <v>164</v>
      </c>
      <c r="D13" s="7" t="s">
        <v>165</v>
      </c>
      <c r="E13" t="s">
        <v>158</v>
      </c>
      <c r="F13" t="s">
        <v>130</v>
      </c>
      <c r="G13" t="s">
        <v>130</v>
      </c>
      <c r="H13" t="s">
        <v>129</v>
      </c>
      <c r="I13" t="s">
        <v>130</v>
      </c>
      <c r="J13" t="s">
        <v>130</v>
      </c>
      <c r="K13">
        <v>3</v>
      </c>
      <c r="L13">
        <v>0</v>
      </c>
      <c r="M13">
        <v>0</v>
      </c>
      <c r="Q13">
        <v>2</v>
      </c>
      <c r="R13">
        <v>1</v>
      </c>
      <c r="S13" t="s">
        <v>176</v>
      </c>
      <c r="T13">
        <v>1</v>
      </c>
    </row>
    <row r="14" spans="1:20">
      <c r="A14">
        <f t="shared" si="0"/>
        <v>1204</v>
      </c>
      <c r="B14">
        <v>1204</v>
      </c>
      <c r="C14" s="8" t="s">
        <v>155</v>
      </c>
      <c r="D14" s="7" t="s">
        <v>166</v>
      </c>
      <c r="E14" t="s">
        <v>157</v>
      </c>
      <c r="F14" t="s">
        <v>130</v>
      </c>
      <c r="G14" t="s">
        <v>130</v>
      </c>
      <c r="H14" t="s">
        <v>129</v>
      </c>
      <c r="I14" t="s">
        <v>130</v>
      </c>
      <c r="J14" t="s">
        <v>130</v>
      </c>
      <c r="K14">
        <v>3</v>
      </c>
      <c r="L14">
        <v>0</v>
      </c>
      <c r="M14">
        <v>0</v>
      </c>
      <c r="Q14">
        <v>2</v>
      </c>
      <c r="R14">
        <v>1</v>
      </c>
      <c r="S14" t="s">
        <v>177</v>
      </c>
      <c r="T14">
        <v>1</v>
      </c>
    </row>
    <row r="15" spans="1:20">
      <c r="A15">
        <f t="shared" si="0"/>
        <v>1205</v>
      </c>
      <c r="B15">
        <v>1205</v>
      </c>
      <c r="C15" s="8" t="s">
        <v>161</v>
      </c>
      <c r="D15" s="7" t="s">
        <v>167</v>
      </c>
      <c r="E15" t="s">
        <v>156</v>
      </c>
      <c r="F15" t="s">
        <v>130</v>
      </c>
      <c r="G15" t="s">
        <v>130</v>
      </c>
      <c r="H15" t="s">
        <v>129</v>
      </c>
      <c r="I15" t="s">
        <v>130</v>
      </c>
      <c r="J15" t="s">
        <v>130</v>
      </c>
      <c r="K15">
        <v>3</v>
      </c>
      <c r="L15">
        <v>0</v>
      </c>
      <c r="M15">
        <v>0</v>
      </c>
      <c r="N15" s="11" t="s">
        <v>255</v>
      </c>
      <c r="O15" s="11" t="s">
        <v>256</v>
      </c>
      <c r="P15" s="11" t="s">
        <v>257</v>
      </c>
      <c r="Q15">
        <v>2</v>
      </c>
      <c r="R15">
        <v>1</v>
      </c>
      <c r="S15" t="s">
        <v>178</v>
      </c>
      <c r="T15">
        <v>1</v>
      </c>
    </row>
    <row r="16" spans="1:20">
      <c r="A16">
        <f t="shared" ref="A16:A17" si="4">IF(B16&lt;&gt;"",B16,"")</f>
        <v>1206</v>
      </c>
      <c r="B16">
        <v>1206</v>
      </c>
      <c r="C16" s="8" t="s">
        <v>211</v>
      </c>
      <c r="D16" s="7" t="s">
        <v>217</v>
      </c>
      <c r="E16" t="s">
        <v>212</v>
      </c>
      <c r="F16" t="s">
        <v>130</v>
      </c>
      <c r="G16" t="s">
        <v>130</v>
      </c>
      <c r="H16" t="s">
        <v>129</v>
      </c>
      <c r="I16" t="s">
        <v>130</v>
      </c>
      <c r="J16" t="s">
        <v>130</v>
      </c>
      <c r="K16">
        <v>3</v>
      </c>
      <c r="L16">
        <v>0</v>
      </c>
      <c r="M16">
        <v>0</v>
      </c>
      <c r="Q16">
        <v>2</v>
      </c>
      <c r="R16">
        <v>1</v>
      </c>
      <c r="S16" t="s">
        <v>213</v>
      </c>
      <c r="T16">
        <v>1</v>
      </c>
    </row>
    <row r="17" spans="1:20">
      <c r="A17">
        <f t="shared" si="4"/>
        <v>1207</v>
      </c>
      <c r="B17">
        <v>1207</v>
      </c>
      <c r="C17" s="8" t="s">
        <v>214</v>
      </c>
      <c r="D17" s="7" t="s">
        <v>145</v>
      </c>
      <c r="E17" t="s">
        <v>215</v>
      </c>
      <c r="F17" t="s">
        <v>130</v>
      </c>
      <c r="G17" t="s">
        <v>130</v>
      </c>
      <c r="H17" t="s">
        <v>129</v>
      </c>
      <c r="I17" t="s">
        <v>130</v>
      </c>
      <c r="J17" t="s">
        <v>130</v>
      </c>
      <c r="K17">
        <v>3</v>
      </c>
      <c r="L17">
        <v>0</v>
      </c>
      <c r="M17">
        <v>0</v>
      </c>
      <c r="Q17">
        <v>2</v>
      </c>
      <c r="R17">
        <v>1</v>
      </c>
      <c r="S17" t="s">
        <v>216</v>
      </c>
      <c r="T17">
        <v>1</v>
      </c>
    </row>
    <row r="18" spans="1:20">
      <c r="A18">
        <f t="shared" ref="A18:A20" si="5">IF(B18&lt;&gt;"",B18,"")</f>
        <v>1208</v>
      </c>
      <c r="B18">
        <v>1208</v>
      </c>
      <c r="C18" s="8" t="s">
        <v>222</v>
      </c>
      <c r="D18" s="7" t="s">
        <v>225</v>
      </c>
      <c r="E18" t="s">
        <v>228</v>
      </c>
      <c r="F18" t="s">
        <v>130</v>
      </c>
      <c r="G18" t="s">
        <v>130</v>
      </c>
      <c r="H18" t="s">
        <v>129</v>
      </c>
      <c r="I18" t="s">
        <v>130</v>
      </c>
      <c r="J18" t="s">
        <v>130</v>
      </c>
      <c r="K18">
        <v>3</v>
      </c>
      <c r="L18">
        <v>0</v>
      </c>
      <c r="M18">
        <v>0</v>
      </c>
      <c r="Q18">
        <v>2</v>
      </c>
      <c r="R18">
        <v>1</v>
      </c>
      <c r="S18" t="s">
        <v>231</v>
      </c>
      <c r="T18">
        <v>1</v>
      </c>
    </row>
    <row r="19" spans="1:20">
      <c r="A19">
        <f t="shared" si="5"/>
        <v>1209</v>
      </c>
      <c r="B19">
        <v>1209</v>
      </c>
      <c r="C19" s="8" t="s">
        <v>223</v>
      </c>
      <c r="D19" s="7" t="s">
        <v>226</v>
      </c>
      <c r="E19" t="s">
        <v>229</v>
      </c>
      <c r="F19" t="s">
        <v>130</v>
      </c>
      <c r="G19" t="s">
        <v>130</v>
      </c>
      <c r="H19" t="s">
        <v>129</v>
      </c>
      <c r="I19" t="s">
        <v>130</v>
      </c>
      <c r="J19" t="s">
        <v>130</v>
      </c>
      <c r="K19">
        <v>3</v>
      </c>
      <c r="L19">
        <v>0</v>
      </c>
      <c r="M19">
        <v>0</v>
      </c>
      <c r="Q19">
        <v>2</v>
      </c>
      <c r="R19">
        <v>1</v>
      </c>
      <c r="S19" t="s">
        <v>232</v>
      </c>
      <c r="T19">
        <v>1</v>
      </c>
    </row>
    <row r="20" spans="1:20">
      <c r="A20">
        <f t="shared" si="5"/>
        <v>1210</v>
      </c>
      <c r="B20">
        <v>1210</v>
      </c>
      <c r="C20" s="8" t="s">
        <v>224</v>
      </c>
      <c r="D20" s="7" t="s">
        <v>227</v>
      </c>
      <c r="E20" t="s">
        <v>230</v>
      </c>
      <c r="F20" t="s">
        <v>130</v>
      </c>
      <c r="G20" t="s">
        <v>130</v>
      </c>
      <c r="H20" t="s">
        <v>129</v>
      </c>
      <c r="I20" t="s">
        <v>130</v>
      </c>
      <c r="J20" t="s">
        <v>130</v>
      </c>
      <c r="K20">
        <v>3</v>
      </c>
      <c r="L20">
        <v>0</v>
      </c>
      <c r="M20">
        <v>0</v>
      </c>
      <c r="Q20">
        <v>2</v>
      </c>
      <c r="R20">
        <v>1</v>
      </c>
      <c r="S20" t="s">
        <v>233</v>
      </c>
      <c r="T20">
        <v>1</v>
      </c>
    </row>
    <row r="21" spans="1:20">
      <c r="A21">
        <f t="shared" si="0"/>
        <v>1301</v>
      </c>
      <c r="B21">
        <v>1301</v>
      </c>
      <c r="C21" s="8" t="s">
        <v>144</v>
      </c>
      <c r="D21" s="7" t="s">
        <v>147</v>
      </c>
      <c r="E21" t="s">
        <v>162</v>
      </c>
      <c r="F21" t="s">
        <v>130</v>
      </c>
      <c r="G21" t="s">
        <v>130</v>
      </c>
      <c r="H21" t="s">
        <v>129</v>
      </c>
      <c r="I21" t="s">
        <v>130</v>
      </c>
      <c r="J21" t="s">
        <v>130</v>
      </c>
      <c r="K21">
        <v>3</v>
      </c>
      <c r="L21">
        <v>0</v>
      </c>
      <c r="M21">
        <v>0</v>
      </c>
      <c r="Q21">
        <v>2</v>
      </c>
      <c r="R21">
        <v>1</v>
      </c>
      <c r="S21" t="s">
        <v>179</v>
      </c>
      <c r="T21">
        <v>1</v>
      </c>
    </row>
    <row r="22" spans="1:20">
      <c r="A22">
        <f t="shared" ref="A22" si="6">IF(B22&lt;&gt;"",B22,"")</f>
        <v>1302</v>
      </c>
      <c r="B22">
        <v>1302</v>
      </c>
      <c r="C22" s="8" t="s">
        <v>236</v>
      </c>
      <c r="D22" s="7" t="s">
        <v>237</v>
      </c>
      <c r="E22" t="s">
        <v>234</v>
      </c>
      <c r="F22" t="s">
        <v>130</v>
      </c>
      <c r="G22" t="s">
        <v>130</v>
      </c>
      <c r="H22" t="s">
        <v>129</v>
      </c>
      <c r="I22" t="s">
        <v>130</v>
      </c>
      <c r="J22" t="s">
        <v>130</v>
      </c>
      <c r="K22">
        <v>3</v>
      </c>
      <c r="L22">
        <v>0</v>
      </c>
      <c r="M22">
        <v>0</v>
      </c>
      <c r="Q22">
        <v>2</v>
      </c>
      <c r="R22">
        <v>1</v>
      </c>
      <c r="S22" t="s">
        <v>235</v>
      </c>
      <c r="T22">
        <v>1</v>
      </c>
    </row>
    <row r="23" spans="1:20">
      <c r="A23">
        <f t="shared" ref="A23:A24" si="7">IF(B23&lt;&gt;"",B23,"")</f>
        <v>1303</v>
      </c>
      <c r="B23">
        <v>1303</v>
      </c>
      <c r="C23" s="9" t="s">
        <v>244</v>
      </c>
      <c r="D23" s="7" t="s">
        <v>251</v>
      </c>
      <c r="E23" t="s">
        <v>247</v>
      </c>
      <c r="F23" t="s">
        <v>130</v>
      </c>
      <c r="G23" t="s">
        <v>130</v>
      </c>
      <c r="H23" t="s">
        <v>129</v>
      </c>
      <c r="I23" t="s">
        <v>130</v>
      </c>
      <c r="J23" t="s">
        <v>130</v>
      </c>
      <c r="K23">
        <v>3</v>
      </c>
      <c r="L23">
        <v>0</v>
      </c>
      <c r="M23">
        <v>0</v>
      </c>
      <c r="Q23">
        <v>2</v>
      </c>
      <c r="R23">
        <v>1</v>
      </c>
      <c r="S23" t="s">
        <v>249</v>
      </c>
      <c r="T23">
        <v>1</v>
      </c>
    </row>
    <row r="24" spans="1:20">
      <c r="A24">
        <f t="shared" si="7"/>
        <v>1304</v>
      </c>
      <c r="B24">
        <v>1304</v>
      </c>
      <c r="C24" s="9" t="s">
        <v>245</v>
      </c>
      <c r="D24" s="7" t="s">
        <v>252</v>
      </c>
      <c r="E24" t="s">
        <v>246</v>
      </c>
      <c r="F24" t="s">
        <v>130</v>
      </c>
      <c r="G24" t="s">
        <v>130</v>
      </c>
      <c r="H24" t="s">
        <v>129</v>
      </c>
      <c r="I24" t="s">
        <v>130</v>
      </c>
      <c r="J24" t="s">
        <v>130</v>
      </c>
      <c r="K24">
        <v>3</v>
      </c>
      <c r="L24">
        <v>0</v>
      </c>
      <c r="M24">
        <v>0</v>
      </c>
      <c r="Q24">
        <v>2</v>
      </c>
      <c r="R24">
        <v>1</v>
      </c>
      <c r="S24" t="s">
        <v>250</v>
      </c>
      <c r="T24">
        <v>1</v>
      </c>
    </row>
    <row r="25" spans="1:20">
      <c r="A25">
        <f t="shared" si="0"/>
        <v>1401</v>
      </c>
      <c r="B25">
        <v>1401</v>
      </c>
      <c r="C25" s="8" t="s">
        <v>195</v>
      </c>
      <c r="D25" s="7" t="s">
        <v>218</v>
      </c>
      <c r="E25" t="s">
        <v>196</v>
      </c>
      <c r="F25" t="s">
        <v>130</v>
      </c>
      <c r="G25" t="s">
        <v>130</v>
      </c>
      <c r="H25" t="s">
        <v>129</v>
      </c>
      <c r="I25" t="s">
        <v>130</v>
      </c>
      <c r="J25" t="s">
        <v>130</v>
      </c>
      <c r="K25">
        <v>3</v>
      </c>
      <c r="L25">
        <v>0</v>
      </c>
      <c r="M25">
        <v>0</v>
      </c>
      <c r="Q25">
        <v>2</v>
      </c>
      <c r="R25">
        <v>1</v>
      </c>
      <c r="S25" t="s">
        <v>206</v>
      </c>
      <c r="T25">
        <v>1</v>
      </c>
    </row>
    <row r="26" spans="1:20">
      <c r="A26">
        <f t="shared" ref="A26" si="8">IF(B26&lt;&gt;"",B26,"")</f>
        <v>1402</v>
      </c>
      <c r="B26">
        <v>1402</v>
      </c>
      <c r="C26" s="8" t="s">
        <v>197</v>
      </c>
      <c r="D26" s="7" t="s">
        <v>219</v>
      </c>
      <c r="E26" t="s">
        <v>199</v>
      </c>
      <c r="F26" t="s">
        <v>130</v>
      </c>
      <c r="G26" t="s">
        <v>130</v>
      </c>
      <c r="H26" t="s">
        <v>129</v>
      </c>
      <c r="I26" t="s">
        <v>130</v>
      </c>
      <c r="J26" t="s">
        <v>130</v>
      </c>
      <c r="K26">
        <v>3</v>
      </c>
      <c r="L26">
        <v>0</v>
      </c>
      <c r="M26">
        <v>0</v>
      </c>
      <c r="Q26">
        <v>2</v>
      </c>
      <c r="R26">
        <v>1</v>
      </c>
      <c r="S26" t="s">
        <v>207</v>
      </c>
      <c r="T26">
        <v>1</v>
      </c>
    </row>
    <row r="27" spans="1:20">
      <c r="A27">
        <f t="shared" ref="A27" si="9">IF(B27&lt;&gt;"",B27,"")</f>
        <v>1403</v>
      </c>
      <c r="B27">
        <v>1403</v>
      </c>
      <c r="C27" s="8" t="s">
        <v>198</v>
      </c>
      <c r="D27" s="7" t="s">
        <v>220</v>
      </c>
      <c r="E27" t="s">
        <v>200</v>
      </c>
      <c r="F27" t="s">
        <v>130</v>
      </c>
      <c r="G27" t="s">
        <v>130</v>
      </c>
      <c r="H27" t="s">
        <v>129</v>
      </c>
      <c r="I27" t="s">
        <v>130</v>
      </c>
      <c r="J27" t="s">
        <v>130</v>
      </c>
      <c r="K27">
        <v>3</v>
      </c>
      <c r="L27">
        <v>0</v>
      </c>
      <c r="M27">
        <v>0</v>
      </c>
      <c r="Q27">
        <v>2</v>
      </c>
      <c r="R27">
        <v>1</v>
      </c>
      <c r="S27" t="s">
        <v>208</v>
      </c>
      <c r="T27">
        <v>1</v>
      </c>
    </row>
    <row r="28" spans="1:20">
      <c r="A28">
        <f>IF(B28&lt;&gt;"",B28,"")</f>
        <v>2000</v>
      </c>
      <c r="B28">
        <v>2000</v>
      </c>
      <c r="C28" t="s">
        <v>30</v>
      </c>
      <c r="D28" s="7" t="s">
        <v>135</v>
      </c>
      <c r="E28" t="s">
        <v>126</v>
      </c>
      <c r="F28" t="s">
        <v>129</v>
      </c>
      <c r="G28" t="s">
        <v>130</v>
      </c>
      <c r="H28" t="s">
        <v>129</v>
      </c>
      <c r="I28" t="s">
        <v>130</v>
      </c>
      <c r="J28" t="s">
        <v>130</v>
      </c>
      <c r="K28">
        <v>1</v>
      </c>
      <c r="L28">
        <v>0</v>
      </c>
      <c r="M28">
        <v>0</v>
      </c>
      <c r="Q28">
        <v>2</v>
      </c>
      <c r="R28">
        <v>1</v>
      </c>
      <c r="S28" t="s">
        <v>180</v>
      </c>
      <c r="T28">
        <v>1</v>
      </c>
    </row>
    <row r="29" spans="1:20">
      <c r="A29">
        <f t="shared" ref="A29:A38" si="10">IF(B29&lt;&gt;"",B29,"")</f>
        <v>2001</v>
      </c>
      <c r="B29">
        <v>2001</v>
      </c>
      <c r="C29" t="s">
        <v>31</v>
      </c>
      <c r="D29" s="7" t="s">
        <v>135</v>
      </c>
      <c r="E29" t="s">
        <v>127</v>
      </c>
      <c r="F29" t="s">
        <v>129</v>
      </c>
      <c r="G29" t="s">
        <v>130</v>
      </c>
      <c r="H29" t="s">
        <v>129</v>
      </c>
      <c r="I29" t="s">
        <v>130</v>
      </c>
      <c r="J29" t="s">
        <v>130</v>
      </c>
      <c r="K29">
        <v>1</v>
      </c>
      <c r="L29">
        <v>0</v>
      </c>
      <c r="M29">
        <v>0</v>
      </c>
      <c r="Q29">
        <v>2</v>
      </c>
      <c r="R29">
        <v>1</v>
      </c>
      <c r="S29" t="s">
        <v>181</v>
      </c>
      <c r="T29">
        <v>1</v>
      </c>
    </row>
    <row r="30" spans="1:20">
      <c r="A30">
        <f t="shared" si="10"/>
        <v>2002</v>
      </c>
      <c r="B30">
        <v>2002</v>
      </c>
      <c r="C30" t="s">
        <v>32</v>
      </c>
      <c r="D30" s="7" t="s">
        <v>135</v>
      </c>
      <c r="E30" t="s">
        <v>33</v>
      </c>
      <c r="F30" t="s">
        <v>129</v>
      </c>
      <c r="G30" t="s">
        <v>130</v>
      </c>
      <c r="H30" t="s">
        <v>129</v>
      </c>
      <c r="I30" t="s">
        <v>130</v>
      </c>
      <c r="J30" t="s">
        <v>130</v>
      </c>
      <c r="K30">
        <v>1</v>
      </c>
      <c r="L30">
        <v>0</v>
      </c>
      <c r="M30">
        <v>0</v>
      </c>
      <c r="Q30">
        <v>2</v>
      </c>
      <c r="R30">
        <v>1</v>
      </c>
      <c r="S30" t="s">
        <v>182</v>
      </c>
      <c r="T30">
        <v>1</v>
      </c>
    </row>
    <row r="31" spans="1:20">
      <c r="A31">
        <f t="shared" si="10"/>
        <v>2101</v>
      </c>
      <c r="B31">
        <v>2101</v>
      </c>
      <c r="C31" t="s">
        <v>148</v>
      </c>
      <c r="D31" s="7" t="s">
        <v>150</v>
      </c>
      <c r="E31" t="s">
        <v>149</v>
      </c>
      <c r="F31" t="s">
        <v>129</v>
      </c>
      <c r="G31" t="s">
        <v>130</v>
      </c>
      <c r="H31" t="s">
        <v>129</v>
      </c>
      <c r="I31" t="s">
        <v>130</v>
      </c>
      <c r="J31" t="s">
        <v>130</v>
      </c>
      <c r="K31">
        <v>1</v>
      </c>
      <c r="L31">
        <v>0</v>
      </c>
      <c r="M31">
        <v>0</v>
      </c>
      <c r="N31" s="11" t="s">
        <v>255</v>
      </c>
      <c r="O31" s="11" t="s">
        <v>256</v>
      </c>
      <c r="P31" s="11" t="s">
        <v>257</v>
      </c>
      <c r="Q31">
        <v>2</v>
      </c>
      <c r="R31">
        <v>1</v>
      </c>
      <c r="S31" t="s">
        <v>183</v>
      </c>
      <c r="T31">
        <v>1</v>
      </c>
    </row>
    <row r="32" spans="1:20">
      <c r="A32">
        <f t="shared" si="10"/>
        <v>2102</v>
      </c>
      <c r="B32">
        <v>2102</v>
      </c>
      <c r="C32" t="s">
        <v>159</v>
      </c>
      <c r="D32" s="7" t="s">
        <v>168</v>
      </c>
      <c r="E32" t="s">
        <v>160</v>
      </c>
      <c r="F32" t="s">
        <v>129</v>
      </c>
      <c r="G32" t="s">
        <v>130</v>
      </c>
      <c r="H32" t="s">
        <v>129</v>
      </c>
      <c r="I32" t="s">
        <v>130</v>
      </c>
      <c r="J32" t="s">
        <v>130</v>
      </c>
      <c r="K32">
        <v>1</v>
      </c>
      <c r="L32">
        <v>0</v>
      </c>
      <c r="M32">
        <v>0</v>
      </c>
      <c r="N32" s="11" t="s">
        <v>255</v>
      </c>
      <c r="O32" s="11" t="s">
        <v>256</v>
      </c>
      <c r="P32" s="11" t="s">
        <v>257</v>
      </c>
      <c r="Q32">
        <v>2</v>
      </c>
      <c r="R32">
        <v>1</v>
      </c>
      <c r="S32" t="s">
        <v>185</v>
      </c>
      <c r="T32">
        <v>1</v>
      </c>
    </row>
    <row r="33" spans="1:20">
      <c r="A33">
        <f t="shared" ref="A33" si="11">IF(B33&lt;&gt;"",B33,"")</f>
        <v>2103</v>
      </c>
      <c r="B33">
        <v>2103</v>
      </c>
      <c r="C33" t="s">
        <v>191</v>
      </c>
      <c r="D33" s="7" t="s">
        <v>201</v>
      </c>
      <c r="E33" t="s">
        <v>192</v>
      </c>
      <c r="F33" t="s">
        <v>129</v>
      </c>
      <c r="G33" t="s">
        <v>130</v>
      </c>
      <c r="H33" t="s">
        <v>129</v>
      </c>
      <c r="I33" t="s">
        <v>130</v>
      </c>
      <c r="J33" t="s">
        <v>130</v>
      </c>
      <c r="K33">
        <v>1</v>
      </c>
      <c r="L33">
        <v>0</v>
      </c>
      <c r="M33">
        <v>0</v>
      </c>
      <c r="N33" s="11" t="s">
        <v>255</v>
      </c>
      <c r="O33" s="11" t="s">
        <v>256</v>
      </c>
      <c r="P33" s="11" t="s">
        <v>257</v>
      </c>
      <c r="Q33">
        <v>2</v>
      </c>
      <c r="R33">
        <v>1</v>
      </c>
      <c r="S33" t="s">
        <v>204</v>
      </c>
      <c r="T33">
        <v>1</v>
      </c>
    </row>
    <row r="34" spans="1:20">
      <c r="A34">
        <f t="shared" ref="A34" si="12">IF(B34&lt;&gt;"",B34,"")</f>
        <v>2104</v>
      </c>
      <c r="B34">
        <v>2104</v>
      </c>
      <c r="C34" t="s">
        <v>193</v>
      </c>
      <c r="D34" s="7" t="s">
        <v>221</v>
      </c>
      <c r="E34" t="s">
        <v>194</v>
      </c>
      <c r="F34" t="s">
        <v>129</v>
      </c>
      <c r="G34" t="s">
        <v>130</v>
      </c>
      <c r="H34" t="s">
        <v>129</v>
      </c>
      <c r="I34" t="s">
        <v>130</v>
      </c>
      <c r="J34" t="s">
        <v>130</v>
      </c>
      <c r="K34">
        <v>1</v>
      </c>
      <c r="L34">
        <v>0</v>
      </c>
      <c r="M34">
        <v>0</v>
      </c>
      <c r="N34" s="11" t="s">
        <v>255</v>
      </c>
      <c r="O34" s="11" t="s">
        <v>256</v>
      </c>
      <c r="P34" s="11" t="s">
        <v>257</v>
      </c>
      <c r="Q34">
        <v>2</v>
      </c>
      <c r="R34">
        <v>1</v>
      </c>
      <c r="S34" t="s">
        <v>205</v>
      </c>
      <c r="T34">
        <v>1</v>
      </c>
    </row>
    <row r="35" spans="1:20">
      <c r="A35">
        <f t="shared" ref="A35" si="13">IF(B35&lt;&gt;"",B35,"")</f>
        <v>2105</v>
      </c>
      <c r="B35">
        <v>2105</v>
      </c>
      <c r="C35" s="9" t="s">
        <v>238</v>
      </c>
      <c r="D35" s="7" t="s">
        <v>253</v>
      </c>
      <c r="E35" t="s">
        <v>240</v>
      </c>
      <c r="F35" t="s">
        <v>129</v>
      </c>
      <c r="G35" t="s">
        <v>130</v>
      </c>
      <c r="H35" t="s">
        <v>129</v>
      </c>
      <c r="I35" t="s">
        <v>130</v>
      </c>
      <c r="J35" t="s">
        <v>130</v>
      </c>
      <c r="K35">
        <v>1</v>
      </c>
      <c r="L35">
        <v>0</v>
      </c>
      <c r="M35">
        <v>0</v>
      </c>
      <c r="Q35">
        <v>2</v>
      </c>
      <c r="R35">
        <v>1</v>
      </c>
      <c r="S35" t="s">
        <v>242</v>
      </c>
      <c r="T35">
        <v>1</v>
      </c>
    </row>
    <row r="36" spans="1:20">
      <c r="A36">
        <f t="shared" ref="A36" si="14">IF(B36&lt;&gt;"",B36,"")</f>
        <v>2106</v>
      </c>
      <c r="B36">
        <v>2106</v>
      </c>
      <c r="C36" s="9" t="s">
        <v>239</v>
      </c>
      <c r="D36" s="7" t="s">
        <v>254</v>
      </c>
      <c r="E36" t="s">
        <v>241</v>
      </c>
      <c r="F36" t="s">
        <v>129</v>
      </c>
      <c r="G36" t="s">
        <v>130</v>
      </c>
      <c r="H36" t="s">
        <v>129</v>
      </c>
      <c r="I36" t="s">
        <v>130</v>
      </c>
      <c r="J36" t="s">
        <v>130</v>
      </c>
      <c r="K36">
        <v>1</v>
      </c>
      <c r="L36">
        <v>0</v>
      </c>
      <c r="M36">
        <v>0</v>
      </c>
      <c r="Q36">
        <v>2</v>
      </c>
      <c r="R36">
        <v>1</v>
      </c>
      <c r="S36" t="s">
        <v>243</v>
      </c>
      <c r="T36">
        <v>1</v>
      </c>
    </row>
    <row r="37" spans="1:20">
      <c r="A37">
        <f t="shared" si="10"/>
        <v>2201</v>
      </c>
      <c r="B37">
        <v>2201</v>
      </c>
      <c r="C37" t="s">
        <v>152</v>
      </c>
      <c r="D37" s="7" t="s">
        <v>146</v>
      </c>
      <c r="E37" t="s">
        <v>153</v>
      </c>
      <c r="F37" t="s">
        <v>129</v>
      </c>
      <c r="G37" t="s">
        <v>130</v>
      </c>
      <c r="H37" t="s">
        <v>129</v>
      </c>
      <c r="I37" t="s">
        <v>130</v>
      </c>
      <c r="J37" t="s">
        <v>130</v>
      </c>
      <c r="K37">
        <v>1</v>
      </c>
      <c r="L37">
        <v>0</v>
      </c>
      <c r="M37">
        <v>0</v>
      </c>
      <c r="N37" s="11" t="s">
        <v>255</v>
      </c>
      <c r="O37" s="11" t="s">
        <v>256</v>
      </c>
      <c r="P37" s="11" t="s">
        <v>257</v>
      </c>
      <c r="Q37">
        <v>2</v>
      </c>
      <c r="R37">
        <v>1</v>
      </c>
      <c r="S37" t="s">
        <v>184</v>
      </c>
      <c r="T37">
        <v>1</v>
      </c>
    </row>
    <row r="38" spans="1:20">
      <c r="A38">
        <f t="shared" si="10"/>
        <v>2202</v>
      </c>
      <c r="B38">
        <v>2202</v>
      </c>
      <c r="C38" t="s">
        <v>154</v>
      </c>
      <c r="D38" s="7" t="s">
        <v>146</v>
      </c>
      <c r="E38" t="s">
        <v>151</v>
      </c>
      <c r="F38" t="s">
        <v>129</v>
      </c>
      <c r="G38" t="s">
        <v>130</v>
      </c>
      <c r="H38" t="s">
        <v>129</v>
      </c>
      <c r="I38" t="s">
        <v>130</v>
      </c>
      <c r="J38" t="s">
        <v>130</v>
      </c>
      <c r="K38">
        <v>1</v>
      </c>
      <c r="L38">
        <v>0</v>
      </c>
      <c r="M38">
        <v>0</v>
      </c>
      <c r="N38" s="11" t="s">
        <v>255</v>
      </c>
      <c r="O38" s="11" t="s">
        <v>256</v>
      </c>
      <c r="P38" s="11" t="s">
        <v>257</v>
      </c>
      <c r="Q38">
        <v>2</v>
      </c>
      <c r="R38">
        <v>1</v>
      </c>
      <c r="S38" t="s">
        <v>186</v>
      </c>
      <c r="T38">
        <v>1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辅助项!$A$1:$A$2</xm:f>
          </x14:formula1>
          <xm:sqref>F2:J1048576</xm:sqref>
        </x14:dataValidation>
        <x14:dataValidation type="list" allowBlank="1" showInputMessage="1" showErrorMessage="1">
          <x14:formula1>
            <xm:f>辅助项!$C$1:$C$11</xm:f>
          </x14:formula1>
          <xm:sqref>K2:K1048576</xm:sqref>
        </x14:dataValidation>
        <x14:dataValidation type="list" allowBlank="1" showInputMessage="1" showErrorMessage="1">
          <x14:formula1>
            <xm:f>辅助项!$E$1:$E$2</xm:f>
          </x14:formula1>
          <xm:sqref>Q2:Q1048576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60"/>
  <sheetViews>
    <sheetView workbookViewId="0">
      <selection activeCell="E12" sqref="E12"/>
    </sheetView>
  </sheetViews>
  <sheetFormatPr defaultRowHeight="13.5"/>
  <cols>
    <col min="1" max="1" width="6.5" bestFit="1" customWidth="1"/>
    <col min="3" max="3" width="3.5" bestFit="1" customWidth="1"/>
    <col min="4" max="4" width="11" bestFit="1" customWidth="1"/>
    <col min="5" max="5" width="2.5" bestFit="1" customWidth="1"/>
    <col min="7" max="7" width="70.75" bestFit="1" customWidth="1"/>
    <col min="8" max="8" width="6.5" bestFit="1" customWidth="1"/>
    <col min="9" max="9" width="50.5" bestFit="1" customWidth="1"/>
  </cols>
  <sheetData>
    <row r="1" spans="1:7">
      <c r="A1" t="str">
        <f>"true"</f>
        <v>true</v>
      </c>
      <c r="B1" t="s">
        <v>16</v>
      </c>
      <c r="C1">
        <v>1</v>
      </c>
      <c r="D1" t="s">
        <v>27</v>
      </c>
      <c r="E1">
        <v>1</v>
      </c>
      <c r="G1" s="5" t="s">
        <v>35</v>
      </c>
    </row>
    <row r="2" spans="1:7">
      <c r="A2" t="str">
        <f>"false"</f>
        <v>false</v>
      </c>
      <c r="B2" t="s">
        <v>17</v>
      </c>
      <c r="C2">
        <v>2</v>
      </c>
      <c r="D2" t="s">
        <v>28</v>
      </c>
      <c r="E2">
        <v>2</v>
      </c>
      <c r="G2" s="5" t="s">
        <v>36</v>
      </c>
    </row>
    <row r="3" spans="1:7">
      <c r="B3" t="s">
        <v>18</v>
      </c>
      <c r="C3">
        <v>3</v>
      </c>
      <c r="G3" s="5" t="s">
        <v>41</v>
      </c>
    </row>
    <row r="4" spans="1:7">
      <c r="B4" t="s">
        <v>19</v>
      </c>
      <c r="C4">
        <v>4</v>
      </c>
      <c r="G4" s="5" t="s">
        <v>42</v>
      </c>
    </row>
    <row r="5" spans="1:7">
      <c r="B5" t="s">
        <v>20</v>
      </c>
      <c r="C5">
        <v>5</v>
      </c>
      <c r="G5" s="5" t="s">
        <v>43</v>
      </c>
    </row>
    <row r="6" spans="1:7">
      <c r="B6" t="s">
        <v>21</v>
      </c>
      <c r="C6">
        <v>6</v>
      </c>
      <c r="G6" s="5" t="s">
        <v>44</v>
      </c>
    </row>
    <row r="7" spans="1:7">
      <c r="B7" t="s">
        <v>23</v>
      </c>
      <c r="C7">
        <v>7</v>
      </c>
      <c r="G7" s="5" t="s">
        <v>45</v>
      </c>
    </row>
    <row r="8" spans="1:7">
      <c r="B8" t="s">
        <v>22</v>
      </c>
      <c r="C8">
        <v>8</v>
      </c>
      <c r="G8" s="5" t="s">
        <v>46</v>
      </c>
    </row>
    <row r="9" spans="1:7">
      <c r="B9" t="s">
        <v>24</v>
      </c>
      <c r="C9">
        <v>9</v>
      </c>
      <c r="G9" s="5" t="s">
        <v>47</v>
      </c>
    </row>
    <row r="10" spans="1:7">
      <c r="B10" t="s">
        <v>25</v>
      </c>
      <c r="C10">
        <v>10</v>
      </c>
      <c r="G10" s="5" t="s">
        <v>48</v>
      </c>
    </row>
    <row r="11" spans="1:7">
      <c r="B11" t="s">
        <v>26</v>
      </c>
      <c r="C11">
        <v>11</v>
      </c>
      <c r="G11" s="5" t="s">
        <v>49</v>
      </c>
    </row>
    <row r="12" spans="1:7">
      <c r="G12" s="5" t="s">
        <v>50</v>
      </c>
    </row>
    <row r="13" spans="1:7">
      <c r="G13" s="5" t="s">
        <v>51</v>
      </c>
    </row>
    <row r="14" spans="1:7">
      <c r="G14" s="5" t="s">
        <v>52</v>
      </c>
    </row>
    <row r="15" spans="1:7">
      <c r="G15" s="5" t="s">
        <v>53</v>
      </c>
    </row>
    <row r="16" spans="1:7">
      <c r="G16" s="5" t="s">
        <v>54</v>
      </c>
    </row>
    <row r="17" spans="7:9">
      <c r="G17" s="5" t="s">
        <v>55</v>
      </c>
    </row>
    <row r="18" spans="7:9">
      <c r="G18" s="5" t="s">
        <v>56</v>
      </c>
    </row>
    <row r="19" spans="7:9">
      <c r="G19" s="5" t="s">
        <v>41</v>
      </c>
    </row>
    <row r="20" spans="7:9">
      <c r="G20" s="5" t="s">
        <v>57</v>
      </c>
    </row>
    <row r="21" spans="7:9">
      <c r="G21" s="5" t="s">
        <v>58</v>
      </c>
    </row>
    <row r="22" spans="7:9">
      <c r="G22" s="5" t="s">
        <v>59</v>
      </c>
    </row>
    <row r="23" spans="7:9">
      <c r="G23" s="5" t="s">
        <v>60</v>
      </c>
    </row>
    <row r="24" spans="7:9">
      <c r="G24" s="5" t="s">
        <v>61</v>
      </c>
    </row>
    <row r="25" spans="7:9">
      <c r="G25" s="5" t="s">
        <v>55</v>
      </c>
    </row>
    <row r="26" spans="7:9">
      <c r="G26" s="5" t="s">
        <v>56</v>
      </c>
    </row>
    <row r="27" spans="7:9">
      <c r="G27" s="1" t="s">
        <v>76</v>
      </c>
      <c r="H27" t="s">
        <v>75</v>
      </c>
      <c r="I27" t="s">
        <v>83</v>
      </c>
    </row>
    <row r="28" spans="7:9">
      <c r="G28" s="1" t="s">
        <v>62</v>
      </c>
      <c r="H28" t="s">
        <v>63</v>
      </c>
    </row>
    <row r="29" spans="7:9">
      <c r="G29" s="3" t="s">
        <v>77</v>
      </c>
      <c r="H29" t="s">
        <v>78</v>
      </c>
      <c r="I29" t="s">
        <v>90</v>
      </c>
    </row>
    <row r="30" spans="7:9">
      <c r="G30" s="4" t="s">
        <v>79</v>
      </c>
      <c r="H30" t="s">
        <v>78</v>
      </c>
      <c r="I30" t="s">
        <v>91</v>
      </c>
    </row>
    <row r="31" spans="7:9">
      <c r="G31" s="4" t="s">
        <v>93</v>
      </c>
      <c r="H31" t="s">
        <v>94</v>
      </c>
      <c r="I31" t="s">
        <v>92</v>
      </c>
    </row>
    <row r="32" spans="7:9">
      <c r="G32" s="4" t="s">
        <v>96</v>
      </c>
      <c r="H32" t="s">
        <v>74</v>
      </c>
      <c r="I32" t="s">
        <v>95</v>
      </c>
    </row>
    <row r="33" spans="7:9">
      <c r="G33" s="4" t="s">
        <v>97</v>
      </c>
      <c r="H33" t="s">
        <v>98</v>
      </c>
      <c r="I33" t="s">
        <v>99</v>
      </c>
    </row>
    <row r="34" spans="7:9">
      <c r="G34" s="4" t="s">
        <v>100</v>
      </c>
      <c r="H34" t="s">
        <v>74</v>
      </c>
      <c r="I34" t="s">
        <v>101</v>
      </c>
    </row>
    <row r="35" spans="7:9">
      <c r="G35" s="4" t="s">
        <v>102</v>
      </c>
      <c r="H35" t="s">
        <v>74</v>
      </c>
      <c r="I35" t="s">
        <v>103</v>
      </c>
    </row>
    <row r="36" spans="7:9">
      <c r="G36" s="4" t="s">
        <v>104</v>
      </c>
      <c r="H36" t="s">
        <v>74</v>
      </c>
      <c r="I36" t="s">
        <v>105</v>
      </c>
    </row>
    <row r="37" spans="7:9">
      <c r="G37" s="4" t="s">
        <v>106</v>
      </c>
      <c r="H37" t="s">
        <v>70</v>
      </c>
      <c r="I37" t="s">
        <v>107</v>
      </c>
    </row>
    <row r="38" spans="7:9">
      <c r="G38" s="4" t="s">
        <v>108</v>
      </c>
      <c r="H38" t="s">
        <v>74</v>
      </c>
      <c r="I38" t="s">
        <v>109</v>
      </c>
    </row>
    <row r="39" spans="7:9">
      <c r="G39" s="4" t="s">
        <v>110</v>
      </c>
      <c r="H39" t="s">
        <v>74</v>
      </c>
      <c r="I39" t="s">
        <v>111</v>
      </c>
    </row>
    <row r="40" spans="7:9">
      <c r="G40" s="4" t="s">
        <v>112</v>
      </c>
      <c r="H40" t="s">
        <v>78</v>
      </c>
      <c r="I40" t="s">
        <v>113</v>
      </c>
    </row>
    <row r="41" spans="7:9">
      <c r="G41" s="4" t="s">
        <v>114</v>
      </c>
      <c r="H41" t="s">
        <v>115</v>
      </c>
      <c r="I41" t="s">
        <v>116</v>
      </c>
    </row>
    <row r="42" spans="7:9">
      <c r="G42" s="4" t="s">
        <v>117</v>
      </c>
      <c r="H42" t="s">
        <v>78</v>
      </c>
      <c r="I42" t="s">
        <v>118</v>
      </c>
    </row>
    <row r="43" spans="7:9">
      <c r="G43" s="4" t="s">
        <v>119</v>
      </c>
      <c r="H43" t="s">
        <v>70</v>
      </c>
      <c r="I43" t="s">
        <v>120</v>
      </c>
    </row>
    <row r="44" spans="7:9">
      <c r="G44" s="4" t="s">
        <v>121</v>
      </c>
      <c r="H44" t="s">
        <v>63</v>
      </c>
      <c r="I44" t="s">
        <v>122</v>
      </c>
    </row>
    <row r="45" spans="7:9">
      <c r="G45" s="2" t="s">
        <v>64</v>
      </c>
      <c r="I45" t="s">
        <v>80</v>
      </c>
    </row>
    <row r="46" spans="7:9">
      <c r="G46" s="2" t="s">
        <v>37</v>
      </c>
      <c r="I46" t="s">
        <v>81</v>
      </c>
    </row>
    <row r="47" spans="7:9">
      <c r="G47" s="2" t="s">
        <v>67</v>
      </c>
      <c r="H47" t="s">
        <v>68</v>
      </c>
      <c r="I47" t="s">
        <v>82</v>
      </c>
    </row>
    <row r="48" spans="7:9">
      <c r="G48" s="2" t="s">
        <v>65</v>
      </c>
      <c r="H48" t="s">
        <v>66</v>
      </c>
      <c r="I48" t="s">
        <v>84</v>
      </c>
    </row>
    <row r="49" spans="7:9">
      <c r="G49" s="2" t="s">
        <v>69</v>
      </c>
      <c r="H49" t="s">
        <v>70</v>
      </c>
      <c r="I49" t="s">
        <v>85</v>
      </c>
    </row>
    <row r="50" spans="7:9">
      <c r="G50" s="2" t="s">
        <v>128</v>
      </c>
    </row>
    <row r="51" spans="7:9">
      <c r="G51" s="2" t="s">
        <v>39</v>
      </c>
    </row>
    <row r="52" spans="7:9">
      <c r="G52" s="2" t="s">
        <v>40</v>
      </c>
      <c r="I52" t="s">
        <v>86</v>
      </c>
    </row>
    <row r="53" spans="7:9">
      <c r="G53" s="2" t="s">
        <v>67</v>
      </c>
      <c r="H53" t="s">
        <v>71</v>
      </c>
      <c r="I53" t="s">
        <v>87</v>
      </c>
    </row>
    <row r="54" spans="7:9">
      <c r="G54" s="2" t="s">
        <v>72</v>
      </c>
      <c r="H54" t="s">
        <v>63</v>
      </c>
      <c r="I54" t="s">
        <v>88</v>
      </c>
    </row>
    <row r="55" spans="7:9">
      <c r="G55" s="2" t="s">
        <v>73</v>
      </c>
      <c r="H55" t="s">
        <v>74</v>
      </c>
      <c r="I55" t="s">
        <v>89</v>
      </c>
    </row>
    <row r="56" spans="7:9">
      <c r="G56" s="2" t="s">
        <v>38</v>
      </c>
    </row>
    <row r="57" spans="7:9">
      <c r="G57" s="2" t="s">
        <v>39</v>
      </c>
    </row>
    <row r="58" spans="7:9">
      <c r="G58" s="2" t="s">
        <v>125</v>
      </c>
    </row>
    <row r="59" spans="7:9">
      <c r="G59" s="1" t="s">
        <v>123</v>
      </c>
      <c r="H59" t="s">
        <v>74</v>
      </c>
    </row>
    <row r="60" spans="7:9">
      <c r="G60" s="6" t="s">
        <v>124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配置参数</vt:lpstr>
      <vt:lpstr>辅助项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胡昶</dc:creator>
  <cp:lastModifiedBy>luke</cp:lastModifiedBy>
  <dcterms:created xsi:type="dcterms:W3CDTF">2016-03-01T03:07:28Z</dcterms:created>
  <dcterms:modified xsi:type="dcterms:W3CDTF">2016-07-25T02:49:16Z</dcterms:modified>
</cp:coreProperties>
</file>